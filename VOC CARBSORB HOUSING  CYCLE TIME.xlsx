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5BAC3B0D-2880-42F9-A8A3-93B16C834862}" xr6:coauthVersionLast="47" xr6:coauthVersionMax="47" xr10:uidLastSave="{00000000-0000-0000-0000-000000000000}"/>
  <bookViews>
    <workbookView xWindow="-120" yWindow="-120" windowWidth="29040" windowHeight="15720" xr2:uid="{CB851AAA-1FDB-4C09-8869-E3A3DCE34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  <c r="C27" i="1"/>
  <c r="B6" i="1"/>
  <c r="B27" i="1" l="1"/>
</calcChain>
</file>

<file path=xl/sharedStrings.xml><?xml version="1.0" encoding="utf-8"?>
<sst xmlns="http://schemas.openxmlformats.org/spreadsheetml/2006/main" count="18" uniqueCount="18">
  <si>
    <t xml:space="preserve">Operation </t>
  </si>
  <si>
    <t>Idle Time</t>
  </si>
  <si>
    <t>Cutting Time in seconds</t>
  </si>
  <si>
    <t>Bar stop process-stop process pull bar to stop- close door</t>
  </si>
  <si>
    <t>Machine : Mori NL2000Y</t>
  </si>
  <si>
    <t>Rough/Finish  Turn bore for G1/4 Thread-S08K SCLCR -06- CCMT 060202</t>
  </si>
  <si>
    <t>Drill 10mm thro hole with pilot drill  (40mm deep)-Solid Carbide Drill</t>
  </si>
  <si>
    <t>Drill 10mm HSS drill- (70mm deep)</t>
  </si>
  <si>
    <t>Screw cut internal G1/4 Thead-SNVRC10U-5LK  5LKIR 19 BSPT</t>
  </si>
  <si>
    <t xml:space="preserve">Deburr Bore chamfer </t>
  </si>
  <si>
    <t>Deburr Thread- G1/4 Thead-SNVRC10U-5LK  5LKIR 19 BSPT</t>
  </si>
  <si>
    <t>Finish front Boss diameter and flange- SDJCR 11K -CCGT 11T302</t>
  </si>
  <si>
    <t>Rough and finish recess -760-20 - 764zxt-12-3.0-r100 TIALN</t>
  </si>
  <si>
    <t>Part off operation- horn RH224.2020.23  LS224 0530 C0 TN35</t>
  </si>
  <si>
    <t>Part Title- VOC Carbsorb Housing-031169</t>
  </si>
  <si>
    <t>Cycle time in Minutes</t>
  </si>
  <si>
    <t>Rough turn front boss diameter (21mm )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</si>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</sst>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42EC-C055-4A88-97DF-81EC439BE699}">
  <dimension ref="A1:C30"/>
  <sheetViews>
    <sheetView tabSelected="1" workbookViewId="0">
      <selection activeCell="H20" sqref="H20"/>
    </sheetView>
  </sheetViews>
  <sheetFormatPr defaultRowHeight="15" x14ac:dyDescent="0.25"/>
  <cols>
    <col min="1" max="1" width="65.28515625" customWidth="1"/>
    <col min="2" max="2" width="21.42578125" customWidth="1"/>
    <col min="3" max="3" width="15.5703125" customWidth="1"/>
  </cols>
  <sheetData>
    <row r="1" spans="1:3" ht="18.75" x14ac:dyDescent="0.3">
      <c r="A1" s="2" t="s">
        <v>14</v>
      </c>
      <c r="B1" s="1" t="s">
        <v>4</v>
      </c>
    </row>
    <row r="3" spans="1:3" ht="18.75" x14ac:dyDescent="0.3">
      <c r="A3" s="2" t="s">
        <v>0</v>
      </c>
      <c r="B3" s="5" t="s">
        <v>2</v>
      </c>
      <c r="C3" s="5" t="s">
        <v>1</v>
      </c>
    </row>
    <row r="4" spans="1:3" x14ac:dyDescent="0.25">
      <c r="A4" t="s">
        <v>3</v>
      </c>
      <c r="B4" s="3"/>
      <c r="C4" s="3">
        <v>30</v>
      </c>
    </row>
    <row r="5" spans="1:3" x14ac:dyDescent="0.25">
      <c r="B5" s="3"/>
      <c r="C5" s="3"/>
    </row>
    <row r="6" spans="1:3" x14ac:dyDescent="0.25">
      <c r="A6" t="s">
        <v>16</v>
      </c>
      <c r="B6" s="3">
        <f>_xlfn.NUMBERVALUE(B12)</f>
        <v>36</v>
      </c>
      <c r="C6" s="3">
        <v>12</v>
      </c>
    </row>
    <row r="7" spans="1:3" x14ac:dyDescent="0.25">
      <c r="B7" s="3"/>
      <c r="C7" s="3"/>
    </row>
    <row r="8" spans="1:3" x14ac:dyDescent="0.25">
      <c r="A8" t="s">
        <v>6</v>
      </c>
      <c r="B8" s="3">
        <v>36</v>
      </c>
      <c r="C8" s="3">
        <v>14</v>
      </c>
    </row>
    <row r="9" spans="1:3" x14ac:dyDescent="0.25">
      <c r="B9" s="3"/>
      <c r="C9" s="3"/>
    </row>
    <row r="10" spans="1:3" x14ac:dyDescent="0.25">
      <c r="A10" t="s">
        <v>5</v>
      </c>
      <c r="B10" s="3">
        <v>32</v>
      </c>
      <c r="C10" s="3">
        <v>18</v>
      </c>
    </row>
    <row r="11" spans="1:3" x14ac:dyDescent="0.25">
      <c r="B11" s="3"/>
      <c r="C11" s="3"/>
    </row>
    <row r="12" spans="1:3" x14ac:dyDescent="0.25">
      <c r="A12" t="s">
        <v>7</v>
      </c>
      <c r="B12" s="3">
        <v>36</v>
      </c>
      <c r="C12" s="3">
        <v>22</v>
      </c>
    </row>
    <row r="13" spans="1:3" x14ac:dyDescent="0.25">
      <c r="B13" s="3"/>
      <c r="C13" s="3"/>
    </row>
    <row r="14" spans="1:3" x14ac:dyDescent="0.25">
      <c r="A14" t="s">
        <v>8</v>
      </c>
      <c r="B14" s="3">
        <v>40</v>
      </c>
      <c r="C14" s="3">
        <v>18</v>
      </c>
    </row>
    <row r="15" spans="1:3" x14ac:dyDescent="0.25">
      <c r="B15" s="3"/>
      <c r="C15" s="3"/>
    </row>
    <row r="16" spans="1:3" x14ac:dyDescent="0.25">
      <c r="A16" t="s">
        <v>9</v>
      </c>
      <c r="B16" s="3">
        <v>12</v>
      </c>
      <c r="C16" s="3">
        <v>12</v>
      </c>
    </row>
    <row r="17" spans="1:3" x14ac:dyDescent="0.25">
      <c r="B17" s="3"/>
      <c r="C17" s="3"/>
    </row>
    <row r="18" spans="1:3" x14ac:dyDescent="0.25">
      <c r="A18" t="s">
        <v>10</v>
      </c>
      <c r="B18" s="3">
        <v>20</v>
      </c>
      <c r="C18" s="3">
        <v>12</v>
      </c>
    </row>
    <row r="19" spans="1:3" x14ac:dyDescent="0.25">
      <c r="B19" s="3"/>
      <c r="C19" s="3"/>
    </row>
    <row r="20" spans="1:3" x14ac:dyDescent="0.25">
      <c r="A20" t="s">
        <v>11</v>
      </c>
      <c r="B20" s="3">
        <v>13</v>
      </c>
      <c r="C20" s="3">
        <v>12</v>
      </c>
    </row>
    <row r="21" spans="1:3" x14ac:dyDescent="0.25">
      <c r="B21" s="3"/>
      <c r="C21" s="3"/>
    </row>
    <row r="22" spans="1:3" x14ac:dyDescent="0.25">
      <c r="A22" t="s">
        <v>12</v>
      </c>
      <c r="B22" s="3">
        <v>68</v>
      </c>
      <c r="C22" s="3">
        <v>20</v>
      </c>
    </row>
    <row r="23" spans="1:3" x14ac:dyDescent="0.25">
      <c r="B23" s="3"/>
      <c r="C23" s="3"/>
    </row>
    <row r="24" spans="1:3" x14ac:dyDescent="0.25">
      <c r="A24" t="s">
        <v>13</v>
      </c>
      <c r="B24" s="3">
        <v>20</v>
      </c>
      <c r="C24" s="3">
        <v>14</v>
      </c>
    </row>
    <row r="25" spans="1:3" x14ac:dyDescent="0.25">
      <c r="B25" s="3"/>
    </row>
    <row r="26" spans="1:3" x14ac:dyDescent="0.25">
      <c r="B26" s="4" t="s">
        <v>17</v>
      </c>
    </row>
    <row r="27" spans="1:3" x14ac:dyDescent="0.25">
      <c r="A27" s="6"/>
      <c r="B27" s="8">
        <f>SUM(B6:B24)</f>
        <v>313</v>
      </c>
      <c r="C27" s="8">
        <f>SUM(C4:C24)</f>
        <v>184</v>
      </c>
    </row>
    <row r="30" spans="1:3" x14ac:dyDescent="0.25">
      <c r="A30" s="6" t="s">
        <v>15</v>
      </c>
      <c r="B30" s="7">
        <f>SUM((B27+C27)/60)</f>
        <v>8.2833333333333332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D'Rosario</dc:creator>
  <cp:lastModifiedBy>Kevin D'Rosario</cp:lastModifiedBy>
  <dcterms:created xsi:type="dcterms:W3CDTF">2026-09-18T08:23:04Z</dcterms:created>
  <dcterms:modified xsi:type="dcterms:W3CDTF">2026-09-22T09:01:55Z</dcterms:modified>
</cp:coreProperties>
</file>